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1 Success Rate" sheetId="2" state="visible" r:id="rId4"/>
    <sheet name="2-3 Share and Revenue" sheetId="3" state="visible" r:id="rId5"/>
    <sheet name="4 Competitor Reaction" sheetId="4" state="visible" r:id="rId6"/>
    <sheet name="Sourc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<sst xmlns="http://schemas.openxmlformats.org/spreadsheetml/2006/main" count="154" uniqueCount="133">
  <si>
    <t xml:space="preserve">C-DIRECT — GROWTH SCENARIO MODEL</t>
  </si>
  <si>
    <t xml:space="preserve">Built 2026-07-29, in response to: % chance of success / market share at month 3 / monthly revenue at month 4 / competitor reaction at month 3</t>
  </si>
  <si>
    <t xml:space="preserve">READ THIS FIRST — what this workbook is, and isn't.</t>
  </si>
  <si>
    <t xml:space="preserve">You asked for precise, verified numbers on four things: percent chance of success, market share captured after 3 months,</t>
  </si>
  <si>
    <t xml:space="preserve">monthly revenue after 4 months, and competitor reaction after 3 months. Being precise about this honestly: none of these</t>
  </si>
  <si>
    <t xml:space="preserve">are facts that exist yet to verify. C-Direct has not launched, has zero paying customers today, and the payment/fee</t>
  </si>
  <si>
    <t xml:space="preserve">mechanism itself isn't built (see the 2026-07-29 audit). No search or calculation can "verify" a number for something</t>
  </si>
  <si>
    <t xml:space="preserve">that hasn't happened and depends on decisions — sales effort, launch date, pricing — that haven't been made yet.</t>
  </si>
  <si>
    <t xml:space="preserve">What I did instead, tab by tab:</t>
  </si>
  <si>
    <t xml:space="preserve">  1 Success Rate — real, sourced survival/failure-rate base rates (Canada + US), plus the specific factors that push</t>
  </si>
  <si>
    <t xml:space="preserve">     C-Direct above or below those baselines. A reasoned range, clearly labeled as judgment, not a measured fact.</t>
  </si>
  <si>
    <t xml:space="preserve">  2-3 Share and Revenue — a live scenario model. The market-size numbers (1,906 Quebec pharmacies, 1M+ locum</t>
  </si>
  <si>
    <t xml:space="preserve">     hours/year) are sourced. The adoption-pace numbers (how many pharmacies you sign up per month) are NOT knowable</t>
  </si>
  <si>
    <t xml:space="preserve">     yet — they're the actual levers of your go-to-market plan. I've set illustrative Low/Base/High starting points in</t>
  </si>
  <si>
    <t xml:space="preserve">     yellow; change them to match your real plan and every number recalculates.</t>
  </si>
  <si>
    <t xml:space="preserve">  4 Competitor Reaction — sourced facts about BeLocum's and PharmaGap's actual scale (where public data exists),</t>
  </si>
  <si>
    <t xml:space="preserve">     then an explicitly-labeled judgment section, because nobody — not me, not any database — can verify what a</t>
  </si>
  <si>
    <t xml:space="preserve">     private company will decide to do 90 days from now.</t>
  </si>
  <si>
    <t xml:space="preserve">  Sources — every URL used, so you can check any figure yourself.</t>
  </si>
  <si>
    <t xml:space="preserve">Colour key used throughout: blue bold text on yellow fill = input you should change. Black text = formula, </t>
  </si>
  <si>
    <t xml:space="preserve">recalculates automatically. Red italic = caveat/dependency worth reading before trusting the number next to it.</t>
  </si>
  <si>
    <t xml:space="preserve">1. PERCENT CHANCE OF SUCCESS</t>
  </si>
  <si>
    <t xml:space="preserve">There is no single verifiable percentage for a pre-launch company. Below: sourced base rates, then the specific factors that move C-Direct off those baselines.</t>
  </si>
  <si>
    <t xml:space="preserve">SOURCED BASE RATES (general reference classes — none is C-Direct-specific)</t>
  </si>
  <si>
    <t xml:space="preserve">Reference class</t>
  </si>
  <si>
    <t xml:space="preserve">1-year survival</t>
  </si>
  <si>
    <t xml:space="preserve">5-year survival</t>
  </si>
  <si>
    <t xml:space="preserve">Source</t>
  </si>
  <si>
    <t xml:space="preserve">All small businesses, Canada (firms started 2002–2014)</t>
  </si>
  <si>
    <t xml:space="preserve">98%</t>
  </si>
  <si>
    <t xml:space="preserve">63% (43% at 10yr)</t>
  </si>
  <si>
    <t xml:space="preserve">ISED Canada, "Canadian New Firms: Birth and Survival Rates over the Period 2002-2014"</t>
  </si>
  <si>
    <t xml:space="preserve">All private-sector businesses, US (BLS-derived, widely cited)</t>
  </si>
  <si>
    <t xml:space="preserve">~79–90%</t>
  </si>
  <si>
    <t xml:space="preserve">~48–52%</t>
  </si>
  <si>
    <t xml:space="preserve">US Bureau of Labor Statistics data, as compiled by Embroker / DemandSage / GrowthList (2025-2026 startup-stats roundups)</t>
  </si>
  <si>
    <t xml:space="preserve">VC-style tech startups (broad industry figure)</t>
  </si>
  <si>
    <t xml:space="preserve">n/a</t>
  </si>
  <si>
    <t xml:space="preserve">~10% eventually succeed</t>
  </si>
  <si>
    <t xml:space="preserve">Commonly cited across startup-statistics compilations (Embroker, DemandSage, GrowthList)</t>
  </si>
  <si>
    <t xml:space="preserve">Investor-backed fintech startups specifically</t>
  </si>
  <si>
    <t xml:space="preserve">~25% (75% fail)</t>
  </si>
  <si>
    <t xml:space="preserve">Same compilations, fintech-specific cut</t>
  </si>
  <si>
    <t xml:space="preserve">WHY NEITHER BASELINE TRANSFERS DIRECTLY</t>
  </si>
  <si>
    <t xml:space="preserve">C-Direct is neither a typical small business (say, a restaurant) nor a typical VC-blitzscaling tech startup — it's a bootstrapped, vertical, two-sided marketplace. That category has its own well-documented failure mode (the "cold-start" / liquidity problem: a marketplace dies if either side doesn't show up in enough numbers for the other side to find it useful), which isn't captured in either reference class above. I did not find a specific, sourced survival-rate statistic for vertical two-sided marketplaces in this search, so I'm not inventing one — treat the two-sided-marketplace risk as a qualitative factor, not a number.</t>
  </si>
  <si>
    <t xml:space="preserve">FACTORS SPECIFIC TO C-DIRECT (push above or below whatever baseline you pick)</t>
  </si>
  <si>
    <t xml:space="preserve">Factors pushing ABOVE baseline</t>
  </si>
  <si>
    <t xml:space="preserve">Factors pushing BELOW baseline</t>
  </si>
  <si>
    <t xml:space="preserve">• Real, structurally documented supply shortage: ~12% of community-pharmacy positions unfilled, 1M+ locum hours/year (AQPP) — genuine unmet demand, not a manufactured market.</t>
  </si>
  <si>
    <t xml:space="preserve">• The payment-guarantee architecture — the core trust mechanism AND the only revenue mechanism — is not built yet, per the 2026-07-29 audit, with launch ~5-6 weeks out at that time.</t>
  </si>
  <si>
    <t xml:space="preserve">• Most of the hard two-sided-marketplace engineering is already built and working: matching, notifications, invoicing, Instant Booking.</t>
  </si>
  <si>
    <t xml:space="preserve">• Zero revenue today: $0/month regardless of usage until the fee mechanism ships.</t>
  </si>
  <si>
    <t xml:space="preserve">• Designed pricing (once live) is cheaper for the pharmacy AND better for the locum than the closest multi-province competitor, on the same shift.</t>
  </si>
  <si>
    <t xml:space="preserve">• No dedicated sales/GTM function has been described to me — adoption pace is unproven and unplanned in what I've seen.</t>
  </si>
  <si>
    <t xml:space="preserve">• Quebec's regulatory direction is moving away from placement agencies generally, a directional tailwind for a non-agency model.</t>
  </si>
  <si>
    <t xml:space="preserve">• Two direct competitors already operate in the same or overlapping market: PharmaGap (same-market twin) and BeLocum (larger, multi-province incumbent).</t>
  </si>
  <si>
    <t xml:space="preserve">REASONED RANGE — clearly a judgment call, not a measured fact</t>
  </si>
  <si>
    <t xml:space="preserve">Synthesizing the above: roughly 15%–35% chance of C-Direct reaching durable, self-sustaining scale in Quebec within 2–3 years (i.e., real recurring revenue and repeat usage on both sides — not a unicorn outcome). This range sits below the general small-business baseline (because of the specific execution risk on payments/revenue and existing competitors) and above the generic "most startups fail" baseline (because the market shortage is real and most of the hard product work is already done). Where you land in that range depends almost entirely on how fast the payment gap closes and whether a real sales effort exists to drive onboarding — both within your control, which is exactly why this is a range and not a single invented number.</t>
  </si>
  <si>
    <t xml:space="preserve">2-3. MARKET SHARE (MONTH 3) &amp; MONTHLY REVENUE (MONTH 4)</t>
  </si>
  <si>
    <t xml:space="preserve">Live scenario model — change the yellow cells to match your real go-to-market plan; every output recalculates.</t>
  </si>
  <si>
    <t xml:space="preserve">MARKET ANCHORS (sourced)</t>
  </si>
  <si>
    <t xml:space="preserve">Metric</t>
  </si>
  <si>
    <t xml:space="preserve">Value</t>
  </si>
  <si>
    <t xml:space="preserve">Quebec community pharmacies (locations)</t>
  </si>
  <si>
    <t xml:space="preserve">AQPP, Feb 2025 pre-budget consultation, via newswire.ca</t>
  </si>
  <si>
    <t xml:space="preserve">Locum / remplacement hours per year, Quebec (2024)</t>
  </si>
  <si>
    <t xml:space="preserve">AQPP mémoire, as cited in C-Direct-audit-strategie-2026-07-29.pdf</t>
  </si>
  <si>
    <t xml:space="preserve">Assumed avg hours per locum shift</t>
  </si>
  <si>
    <t xml:space="preserve">Assumption — matches the $136/h × 10h worked example in the payments architecture; change freely</t>
  </si>
  <si>
    <t xml:space="preserve">→ Total province-wide locum shifts / month, ALL channels (C-Direct + competitors + direct hire)</t>
  </si>
  <si>
    <t xml:space="preserve">Computed: hours/year ÷ 12 ÷ hours per shift</t>
  </si>
  <si>
    <t xml:space="preserve">C-Direct fee per completed shift ($)</t>
  </si>
  <si>
    <t xml:space="preserve">c-direct-payments architecture (flat fee)</t>
  </si>
  <si>
    <t xml:space="preserve">⚠ This fee is not currently collectible — the Stripe payment mechanism is not built yet as of the 2026-07-29 audit. Every revenue figure below assumes it ships first.</t>
  </si>
  <si>
    <t xml:space="preserve">YOUR GO-TO-MARKET LEVERS — change these to match your real plan</t>
  </si>
  <si>
    <t xml:space="preserve">Low</t>
  </si>
  <si>
    <t xml:space="preserve">Base</t>
  </si>
  <si>
    <t xml:space="preserve">High</t>
  </si>
  <si>
    <t xml:space="preserve">Note</t>
  </si>
  <si>
    <t xml:space="preserve">Pharmacies onboarded &amp; active by end of Month 1</t>
  </si>
  <si>
    <t xml:space="preserve">Illustrative starting point — not a forecast, a lever</t>
  </si>
  <si>
    <t xml:space="preserve">Net new pharmacies onboarded per month (Months 2-4)</t>
  </si>
  <si>
    <t xml:space="preserve">Avg shifts filled per active pharmacy per month</t>
  </si>
  <si>
    <t xml:space="preserve">Base case set below the province-wide avg of ~5.2/month (row above ÷ 1,906) since a new platform won't capture all of a pharmacy's locum needs immediately</t>
  </si>
  <si>
    <t xml:space="preserve">MONTH-BY-MONTH MODEL — Months 1 to 4 post-launch</t>
  </si>
  <si>
    <t xml:space="preserve">LOW SCENARIO</t>
  </si>
  <si>
    <t xml:space="preserve">Month</t>
  </si>
  <si>
    <t xml:space="preserve">Active pharmacies (cum.)</t>
  </si>
  <si>
    <t xml:space="preserve">Shifts filled that month</t>
  </si>
  <si>
    <t xml:space="preserve">Revenue that month</t>
  </si>
  <si>
    <t xml:space="preserve">Market share that month</t>
  </si>
  <si>
    <t xml:space="preserve">BASE SCENARIO</t>
  </si>
  <si>
    <t xml:space="preserve">HIGH SCENARIO</t>
  </si>
  <si>
    <t xml:space="preserve">HEADLINE OUTPUTS — what you asked for</t>
  </si>
  <si>
    <t xml:space="preserve">Market share captured at Month 3</t>
  </si>
  <si>
    <t xml:space="preserve">Monthly revenue at Month 4 ($)</t>
  </si>
  <si>
    <t xml:space="preserve">These are scenario outputs from the levers above, not verified predictions — nobody can verify adoption numbers for a product that hasn't launched yet. Change the yellow cells to match your actual planned sales/marketing effort and every number recalculates.</t>
  </si>
  <si>
    <t xml:space="preserve">4. COMPETITOR REACTION AFTER 3 MONTHS</t>
  </si>
  <si>
    <t xml:space="preserve">What can be verified is each competitor's current scale. What they will DO in 90 days cannot be verified by anyone — it hasn't happened.</t>
  </si>
  <si>
    <t xml:space="preserve">SOURCED FACTS AS OF THIS SEARCH</t>
  </si>
  <si>
    <t xml:space="preserve">Competitor</t>
  </si>
  <si>
    <t xml:space="preserve">What's actually known (sourced)</t>
  </si>
  <si>
    <t xml:space="preserve">BeLocum</t>
  </si>
  <si>
    <t xml:space="preserve">~370-371 employees; revenue estimated $10M-$50M (third-party aggregator estimate — imprecise for a private company, treat as directional); no funding rounds disclosed; operates multi-province, across both pharmacy AND dental staffing; ranked 32nd of 64 tracked competitors, 11th in total funding among them.</t>
  </si>
  <si>
    <t xml:space="preserve">Tracxn, ZoomInfo, LeadIQ company-profile aggregators (2026)</t>
  </si>
  <si>
    <t xml:space="preserve">PharmaGap</t>
  </si>
  <si>
    <t xml:space="preserve">Quebec-only, launched 2025, direct/no-exclusivity model, free to locums. No public user count, funding, or growth figures found in this search — genuinely no data available, not a gap in search effort.</t>
  </si>
  <si>
    <t xml:space="preserve">pharmagap.com; general web search, 2026-07-29</t>
  </si>
  <si>
    <t xml:space="preserve">Recrupharm</t>
  </si>
  <si>
    <t xml:space="preserve">Traditional placement-agency model — earns margin on placement/wages, structurally different from a marketplace-fee model. Not a direct product competitor in the same sense as the two above.</t>
  </si>
  <si>
    <t xml:space="preserve">recrupharm.com</t>
  </si>
  <si>
    <t xml:space="preserve">WHAT CANNOT BE VERIFIED</t>
  </si>
  <si>
    <t xml:space="preserve">No source — public or private — can confirm what a private company will decide to do in the next 90 days. That would require insider access to their strategic planning. Any statement below about "reaction" is informed expectation, not a verified fact, and is labeled as such.</t>
  </si>
  <si>
    <t xml:space="preserve">INFORMED EXPECTATION (judgment, not fact)</t>
  </si>
  <si>
    <t xml:space="preserve">Structurally unlikely to make any strategic reaction to a single pre-revenue, single-province entrant within just one quarter — a company at this scale (370+ employees, multi-province, multi-vertical) doesn't typically pivot on a new competitor's mere existence. If anything surfaces, expect local sales-rep talking points, not a pricing or product change.</t>
  </si>
  <si>
    <t xml:space="preserve">The most plausible candidate to actually notice within 90 days — same market (Quebec community pharmacies), same stage, same locum pool. Plausible low-level responses: adjusted marketing messaging, sales conversations that mention C-Direct by name. A pricing or model change within just 90 days would be unusual even for a similarly-sized company, since those typically follow measurable customer loss, not a new entrant's launch.</t>
  </si>
  <si>
    <t xml:space="preserve">Least likely to react at all in 90 days — direct marketplaces have been pressuring agency models for a while without triggering fast agency pivots elsewhere.</t>
  </si>
  <si>
    <t xml:space="preserve">General pattern</t>
  </si>
  <si>
    <t xml:space="preserve">In two-sided marketplaces, incumbent reaction typically lags 6-18 months behind a new entrant, and is triggered by measurable customer/revenue loss rather than the entrant's launch itself. 90 days is short even by that pattern's own standard — the more realistic early signal to watch for is quiet (sales conversations, review-site mentions), not a public move.</t>
  </si>
  <si>
    <t xml:space="preserve">SOURCES</t>
  </si>
  <si>
    <t xml:space="preserve">• AQPP (Association québécoise des pharmaciens propriétaires) — pre-budget consultation 2025-2026 press release, via Newswire: https://www.newswire.ca/fr/news-releases/pour-que-les-pharmaciens-jouent-pleinement-leur-role-l-association-quebecoise-des-pharmaciens-proprietaires-aqpp-presente-ses-recommandations-lors-des-consultations-prebudgetaires-2025-2026-du-gouvernement-du-quebec-882990688.html</t>
  </si>
  <si>
    <t xml:space="preserve">• ISED Canada — "Canadian New Firms: Birth and Survival Rates over the Period 2002-2014": https://ised-isde.canada.ca/site/sme-research-statistics/en/research-reports/canadian-new-firms-birth-and-survival-rates-over-period-2002-2014-may-2018/canadian-new-firms-birth-and-survival-rates-over-period-2002-2014-may-2018</t>
  </si>
  <si>
    <t xml:space="preserve">• ISED Canada — Key Small Business Statistics 2025: https://ised-isde.canada.ca/site/sme-research-statistics/en/key-small-business-statistics/key-small-business-statistics-2025</t>
  </si>
  <si>
    <t xml:space="preserve">• DemandSage — Startup Failure Rates &amp; Statistics 2026: https://www.demandsage.com/startup-failure-rate/</t>
  </si>
  <si>
    <t xml:space="preserve">• Embroker — 110 must-know startup statistics for 2025: https://www.embroker.com/blog/startup-statistics/</t>
  </si>
  <si>
    <t xml:space="preserve">• GrowthList — Startup Failure Statistics 2026: https://growthlist.co/startup-failure-statistics/</t>
  </si>
  <si>
    <t xml:space="preserve">• PharmaGap — product pages: https://pharmagap.com/ and https://pharmagap.com/professionnels-remplacants/</t>
  </si>
  <si>
    <t xml:space="preserve">• Recrupharm — service model: https://www.recrupharm.com/</t>
  </si>
  <si>
    <t xml:space="preserve">• BeLocum company profile — Tracxn: https://tracxn.com/d/companies/belocum/__i3ZIPIdBWF66za8hP4TdPfu0dIx4Wrh9qncdFzoUiwM</t>
  </si>
  <si>
    <t xml:space="preserve">• BeLocum company profile — ZoomInfo: https://www.zoominfo.com/c/belocum/466443803</t>
  </si>
  <si>
    <t xml:space="preserve">• BeLocum company profile — LeadIQ: https://leadiq.com/c/belocum/5d2191831e000088017c4d5e</t>
  </si>
  <si>
    <t xml:space="preserve">• BeLocum — Crunchbase: https://www.crunchbase.com/organization/belocum</t>
  </si>
  <si>
    <t xml:space="preserve">• C-Direct internal: C-Direct-audit-strategie-2026-07-29.pdf (site audit + market research) and c-direct-payments architecture skill</t>
  </si>
</sst>
</file>

<file path=xl/styles.xml><?xml version="1.0" encoding="utf-8"?>
<styleSheet xmlns="http://schemas.openxmlformats.org/spreadsheetml/2006/main">
  <numFmts count="6">
    <numFmt numFmtId="164" formatCode="General"/>
    <numFmt numFmtId="165" formatCode="#,##0"/>
    <numFmt numFmtId="166" formatCode="0.0"/>
    <numFmt numFmtId="167" formatCode="\$#,##0"/>
    <numFmt numFmtId="168" formatCode="#,##0.0"/>
    <numFmt numFmtId="169" formatCode="0.00%"/>
  </numFmts>
  <fonts count="17">
    <font>
      <sz val="11"/>
      <color theme="1"/>
      <name val="Calibri"/>
      <family val="2"/>
      <charset val="1"/>
    </font>
    <font>
      <sz val="10"/>
      <name val="Arial"/>
      <family val="0"/>
    </font>
    <font>
      <sz val="10"/>
      <name val="Arial"/>
      <family val="0"/>
    </font>
    <font>
      <sz val="10"/>
      <name val="Arial"/>
      <family val="0"/>
    </font>
    <font>
      <b val="true"/>
      <sz val="14"/>
      <color rgb="FF0E7C5F"/>
      <name val="Arial"/>
      <family val="0"/>
      <charset val="1"/>
    </font>
    <font>
      <i val="true"/>
      <sz val="9"/>
      <color rgb="FF666666"/>
      <name val="Arial"/>
      <family val="0"/>
      <charset val="1"/>
    </font>
    <font>
      <i val="true"/>
      <sz val="9"/>
      <color rgb="FF444444"/>
      <name val="Arial"/>
      <family val="0"/>
      <charset val="1"/>
    </font>
    <font>
      <b val="true"/>
      <sz val="11"/>
      <name val="Arial"/>
      <family val="0"/>
      <charset val="1"/>
    </font>
    <font>
      <b val="true"/>
      <sz val="11"/>
      <color rgb="FFFFFFFF"/>
      <name val="Arial"/>
      <family val="0"/>
      <charset val="1"/>
    </font>
    <font>
      <b val="true"/>
      <sz val="9.5"/>
      <name val="Arial"/>
      <family val="0"/>
      <charset val="1"/>
    </font>
    <font>
      <sz val="9.5"/>
      <name val="Arial"/>
      <family val="0"/>
      <charset val="1"/>
    </font>
    <font>
      <i val="true"/>
      <sz val="8.5"/>
      <color rgb="FF777777"/>
      <name val="Arial"/>
      <family val="0"/>
      <charset val="1"/>
    </font>
    <font>
      <b val="true"/>
      <sz val="9.5"/>
      <color rgb="FF0E7C5F"/>
      <name val="Arial"/>
      <family val="0"/>
      <charset val="1"/>
    </font>
    <font>
      <b val="true"/>
      <sz val="9.5"/>
      <color rgb="FFB00020"/>
      <name val="Arial"/>
      <family val="0"/>
      <charset val="1"/>
    </font>
    <font>
      <b val="true"/>
      <sz val="9.5"/>
      <color rgb="FF0000FF"/>
      <name val="Arial"/>
      <family val="0"/>
      <charset val="1"/>
    </font>
    <font>
      <i val="true"/>
      <sz val="9"/>
      <color rgb="FFB00020"/>
      <name val="Arial"/>
      <family val="0"/>
      <charset val="1"/>
    </font>
    <font>
      <b val="true"/>
      <sz val="10"/>
      <name val="Arial"/>
      <family val="0"/>
      <charset val="1"/>
    </font>
  </fonts>
  <fills count="5">
    <fill>
      <patternFill patternType="none"/>
    </fill>
    <fill>
      <patternFill patternType="gray125"/>
    </fill>
    <fill>
      <patternFill patternType="solid">
        <fgColor rgb="FF0E7C5F"/>
        <bgColor rgb="FF008080"/>
      </patternFill>
    </fill>
    <fill>
      <patternFill patternType="solid">
        <fgColor rgb="FFD9D9D9"/>
        <bgColor rgb="FFCCCCCC"/>
      </patternFill>
    </fill>
    <fill>
      <patternFill patternType="solid">
        <fgColor rgb="FFFFFF00"/>
        <bgColor rgb="FFFFFF0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5" fontId="14" fillId="4" borderId="0" xfId="0" applyFont="true" applyBorder="false" applyAlignment="false" applyProtection="false">
      <alignment horizontal="general" vertical="bottom" textRotation="0" wrapText="false" indent="0" shrinkToFit="false"/>
      <protection locked="true" hidden="false"/>
    </xf>
    <xf numFmtId="166" fontId="14"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14" fillId="4"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4" fillId="4"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9" fontId="16" fillId="0" borderId="0" xfId="0" applyFont="true" applyBorder="false" applyAlignment="false" applyProtection="false">
      <alignment horizontal="general" vertical="bottom" textRotation="0" wrapText="false" indent="0" shrinkToFit="false"/>
      <protection locked="true" hidden="false"/>
    </xf>
    <xf numFmtId="167" fontId="1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B00020"/>
      <rgbColor rgb="FF008000"/>
      <rgbColor rgb="FF000080"/>
      <rgbColor rgb="FF808000"/>
      <rgbColor rgb="FF800080"/>
      <rgbColor rgb="FF0E7C5F"/>
      <rgbColor rgb="FFCCCCCC"/>
      <rgbColor rgb="FF77777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3" t="s">
        <v>2</v>
      </c>
    </row>
    <row r="5" customFormat="false" ht="15" hidden="false" customHeight="false" outlineLevel="0" collapsed="false">
      <c r="A5" s="4"/>
    </row>
    <row r="6" customFormat="false" ht="15" hidden="false" customHeight="false" outlineLevel="0" collapsed="false">
      <c r="A6" s="3" t="s">
        <v>3</v>
      </c>
    </row>
    <row r="7" customFormat="false" ht="15" hidden="false" customHeight="false" outlineLevel="0" collapsed="false">
      <c r="A7" s="3" t="s">
        <v>4</v>
      </c>
    </row>
    <row r="8" customFormat="false" ht="1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3" t="s">
        <v>7</v>
      </c>
    </row>
    <row r="11" customFormat="false" ht="15" hidden="false" customHeight="false" outlineLevel="0" collapsed="false">
      <c r="A11" s="3"/>
    </row>
    <row r="12" customFormat="false" ht="15" hidden="false" customHeight="false" outlineLevel="0" collapsed="false">
      <c r="A12" s="3" t="s">
        <v>8</v>
      </c>
    </row>
    <row r="13" customFormat="false" ht="15" hidden="false" customHeight="false" outlineLevel="0" collapsed="false">
      <c r="A13" s="3" t="s">
        <v>9</v>
      </c>
    </row>
    <row r="14" customFormat="false" ht="15" hidden="false" customHeight="false" outlineLevel="0" collapsed="false">
      <c r="A14" s="3" t="s">
        <v>10</v>
      </c>
    </row>
    <row r="15" customFormat="false" ht="15" hidden="false" customHeight="false" outlineLevel="0" collapsed="false">
      <c r="A15" s="3" t="s">
        <v>11</v>
      </c>
    </row>
    <row r="16" customFormat="false" ht="15" hidden="false" customHeight="false" outlineLevel="0" collapsed="false">
      <c r="A16" s="3" t="s">
        <v>12</v>
      </c>
    </row>
    <row r="17" customFormat="false" ht="15" hidden="false" customHeight="false" outlineLevel="0" collapsed="false">
      <c r="A17" s="3" t="s">
        <v>13</v>
      </c>
    </row>
    <row r="18" customFormat="false" ht="15" hidden="false" customHeight="false" outlineLevel="0" collapsed="false">
      <c r="A18" s="3" t="s">
        <v>14</v>
      </c>
    </row>
    <row r="19" customFormat="false" ht="15" hidden="false" customHeight="false" outlineLevel="0" collapsed="false">
      <c r="A19" s="3" t="s">
        <v>15</v>
      </c>
    </row>
    <row r="20" customFormat="false" ht="15" hidden="false" customHeight="false" outlineLevel="0" collapsed="false">
      <c r="A20" s="3" t="s">
        <v>16</v>
      </c>
    </row>
    <row r="21" customFormat="false" ht="15" hidden="false" customHeight="false" outlineLevel="0" collapsed="false">
      <c r="A21" s="3" t="s">
        <v>17</v>
      </c>
    </row>
    <row r="22" customFormat="false" ht="15" hidden="false" customHeight="false" outlineLevel="0" collapsed="false">
      <c r="A22" s="3" t="s">
        <v>18</v>
      </c>
    </row>
    <row r="23" customFormat="false" ht="15" hidden="false" customHeight="false" outlineLevel="0" collapsed="false">
      <c r="A23" s="3"/>
    </row>
    <row r="24" customFormat="false" ht="15" hidden="false" customHeight="false" outlineLevel="0" collapsed="false">
      <c r="A24" s="3" t="s">
        <v>19</v>
      </c>
    </row>
    <row r="25" customFormat="false" ht="15" hidden="false" customHeight="false" outlineLevel="0" collapsed="false">
      <c r="A25" s="3"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3" min="2" style="0" width="16"/>
    <col collapsed="false" customWidth="true" hidden="false" outlineLevel="0" max="4" min="4" style="0" width="60"/>
  </cols>
  <sheetData>
    <row r="1" customFormat="false" ht="17.35" hidden="false" customHeight="false" outlineLevel="0" collapsed="false">
      <c r="A1" s="1" t="s">
        <v>21</v>
      </c>
    </row>
    <row r="2" customFormat="false" ht="15" hidden="false" customHeight="false" outlineLevel="0" collapsed="false">
      <c r="A2" s="2" t="s">
        <v>22</v>
      </c>
    </row>
    <row r="4" customFormat="false" ht="15" hidden="false" customHeight="false" outlineLevel="0" collapsed="false">
      <c r="A4" s="5" t="s">
        <v>23</v>
      </c>
      <c r="B4" s="5"/>
      <c r="C4" s="5"/>
      <c r="D4" s="5"/>
    </row>
    <row r="5" customFormat="false" ht="15" hidden="false" customHeight="false" outlineLevel="0" collapsed="false">
      <c r="A5" s="6" t="s">
        <v>24</v>
      </c>
      <c r="B5" s="6" t="s">
        <v>25</v>
      </c>
      <c r="C5" s="6" t="s">
        <v>26</v>
      </c>
      <c r="D5" s="6" t="s">
        <v>27</v>
      </c>
    </row>
    <row r="6" customFormat="false" ht="19.4" hidden="false" customHeight="false" outlineLevel="0" collapsed="false">
      <c r="A6" s="7" t="s">
        <v>28</v>
      </c>
      <c r="B6" s="7" t="s">
        <v>29</v>
      </c>
      <c r="C6" s="7" t="s">
        <v>30</v>
      </c>
      <c r="D6" s="8" t="s">
        <v>31</v>
      </c>
    </row>
    <row r="7" customFormat="false" ht="19.4" hidden="false" customHeight="false" outlineLevel="0" collapsed="false">
      <c r="A7" s="7" t="s">
        <v>32</v>
      </c>
      <c r="B7" s="7" t="s">
        <v>33</v>
      </c>
      <c r="C7" s="7" t="s">
        <v>34</v>
      </c>
      <c r="D7" s="8" t="s">
        <v>35</v>
      </c>
    </row>
    <row r="8" customFormat="false" ht="19.4" hidden="false" customHeight="false" outlineLevel="0" collapsed="false">
      <c r="A8" s="7" t="s">
        <v>36</v>
      </c>
      <c r="B8" s="7" t="s">
        <v>37</v>
      </c>
      <c r="C8" s="7" t="s">
        <v>38</v>
      </c>
      <c r="D8" s="8" t="s">
        <v>39</v>
      </c>
    </row>
    <row r="9" customFormat="false" ht="15" hidden="false" customHeight="false" outlineLevel="0" collapsed="false">
      <c r="A9" s="7" t="s">
        <v>40</v>
      </c>
      <c r="B9" s="7" t="s">
        <v>37</v>
      </c>
      <c r="C9" s="7" t="s">
        <v>41</v>
      </c>
      <c r="D9" s="8" t="s">
        <v>42</v>
      </c>
    </row>
    <row r="11" customFormat="false" ht="15" hidden="false" customHeight="false" outlineLevel="0" collapsed="false">
      <c r="A11" s="5" t="s">
        <v>43</v>
      </c>
      <c r="B11" s="5"/>
      <c r="C11" s="5"/>
      <c r="D11" s="5"/>
    </row>
    <row r="12" customFormat="false" ht="60" hidden="false" customHeight="true" outlineLevel="0" collapsed="false">
      <c r="A12" s="9" t="s">
        <v>44</v>
      </c>
      <c r="B12" s="9"/>
      <c r="C12" s="9"/>
      <c r="D12" s="9"/>
    </row>
    <row r="14" customFormat="false" ht="15" hidden="false" customHeight="false" outlineLevel="0" collapsed="false">
      <c r="A14" s="5" t="s">
        <v>45</v>
      </c>
      <c r="B14" s="5"/>
      <c r="C14" s="5"/>
      <c r="D14" s="5"/>
    </row>
    <row r="15" customFormat="false" ht="15" hidden="false" customHeight="false" outlineLevel="0" collapsed="false">
      <c r="A15" s="10" t="s">
        <v>46</v>
      </c>
      <c r="C15" s="11" t="s">
        <v>47</v>
      </c>
    </row>
    <row r="16" customFormat="false" ht="43.5" hidden="false" customHeight="true" outlineLevel="0" collapsed="false">
      <c r="A16" s="12" t="s">
        <v>48</v>
      </c>
      <c r="C16" s="12" t="s">
        <v>49</v>
      </c>
    </row>
    <row r="17" customFormat="false" ht="43.5" hidden="false" customHeight="true" outlineLevel="0" collapsed="false">
      <c r="A17" s="12" t="s">
        <v>50</v>
      </c>
      <c r="C17" s="12" t="s">
        <v>51</v>
      </c>
    </row>
    <row r="18" customFormat="false" ht="43.5" hidden="false" customHeight="true" outlineLevel="0" collapsed="false">
      <c r="A18" s="12" t="s">
        <v>52</v>
      </c>
      <c r="C18" s="12" t="s">
        <v>53</v>
      </c>
    </row>
    <row r="19" customFormat="false" ht="43.5" hidden="false" customHeight="true" outlineLevel="0" collapsed="false">
      <c r="A19" s="12" t="s">
        <v>54</v>
      </c>
      <c r="C19" s="12" t="s">
        <v>55</v>
      </c>
    </row>
    <row r="21" customFormat="false" ht="15" hidden="false" customHeight="false" outlineLevel="0" collapsed="false">
      <c r="A21" s="5" t="s">
        <v>56</v>
      </c>
      <c r="B21" s="5"/>
      <c r="C21" s="5"/>
      <c r="D21" s="5"/>
    </row>
    <row r="22" customFormat="false" ht="99.75" hidden="false" customHeight="true" outlineLevel="0" collapsed="false">
      <c r="A22" s="13" t="s">
        <v>57</v>
      </c>
      <c r="B22" s="13"/>
      <c r="C22" s="13"/>
      <c r="D22" s="13"/>
    </row>
  </sheetData>
  <mergeCells count="6">
    <mergeCell ref="A4:D4"/>
    <mergeCell ref="A11:D11"/>
    <mergeCell ref="A12:D12"/>
    <mergeCell ref="A14:D14"/>
    <mergeCell ref="A21:D21"/>
    <mergeCell ref="A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8"/>
    <col collapsed="false" customWidth="true" hidden="false" outlineLevel="0" max="4" min="2" style="0" width="16"/>
    <col collapsed="false" customWidth="true" hidden="false" outlineLevel="0" max="5" min="5" style="0" width="46"/>
  </cols>
  <sheetData>
    <row r="1" customFormat="false" ht="17.35" hidden="false" customHeight="false" outlineLevel="0" collapsed="false">
      <c r="A1" s="1" t="s">
        <v>58</v>
      </c>
    </row>
    <row r="2" customFormat="false" ht="15" hidden="false" customHeight="false" outlineLevel="0" collapsed="false">
      <c r="A2" s="2" t="s">
        <v>59</v>
      </c>
    </row>
    <row r="4" customFormat="false" ht="15" hidden="false" customHeight="false" outlineLevel="0" collapsed="false">
      <c r="A4" s="5" t="s">
        <v>60</v>
      </c>
      <c r="B4" s="5"/>
      <c r="C4" s="5"/>
      <c r="D4" s="5"/>
      <c r="E4" s="5"/>
    </row>
    <row r="5" customFormat="false" ht="15" hidden="false" customHeight="false" outlineLevel="0" collapsed="false">
      <c r="A5" s="6" t="s">
        <v>61</v>
      </c>
      <c r="B5" s="6" t="s">
        <v>62</v>
      </c>
      <c r="C5" s="6"/>
      <c r="D5" s="6"/>
      <c r="E5" s="6" t="s">
        <v>27</v>
      </c>
    </row>
    <row r="6" customFormat="false" ht="15" hidden="false" customHeight="false" outlineLevel="0" collapsed="false">
      <c r="A6" s="7" t="s">
        <v>63</v>
      </c>
      <c r="B6" s="14" t="n">
        <v>1906</v>
      </c>
      <c r="E6" s="8" t="s">
        <v>64</v>
      </c>
    </row>
    <row r="7" customFormat="false" ht="19.4" hidden="false" customHeight="false" outlineLevel="0" collapsed="false">
      <c r="A7" s="7" t="s">
        <v>65</v>
      </c>
      <c r="B7" s="14" t="n">
        <v>1000000</v>
      </c>
      <c r="E7" s="8" t="s">
        <v>66</v>
      </c>
    </row>
    <row r="8" customFormat="false" ht="19.4" hidden="false" customHeight="false" outlineLevel="0" collapsed="false">
      <c r="A8" s="7" t="s">
        <v>67</v>
      </c>
      <c r="B8" s="15" t="n">
        <v>10</v>
      </c>
      <c r="E8" s="8" t="s">
        <v>68</v>
      </c>
    </row>
    <row r="9" customFormat="false" ht="15" hidden="false" customHeight="false" outlineLevel="0" collapsed="false">
      <c r="A9" s="16" t="s">
        <v>69</v>
      </c>
      <c r="B9" s="17" t="n">
        <f aca="false">B7/12/B8</f>
        <v>8333.33333333333</v>
      </c>
      <c r="E9" s="18" t="s">
        <v>70</v>
      </c>
    </row>
    <row r="10" customFormat="false" ht="15" hidden="false" customHeight="false" outlineLevel="0" collapsed="false">
      <c r="A10" s="7" t="s">
        <v>71</v>
      </c>
      <c r="B10" s="19" t="n">
        <v>39</v>
      </c>
      <c r="E10" s="8" t="s">
        <v>72</v>
      </c>
    </row>
    <row r="11" customFormat="false" ht="15" hidden="false" customHeight="true" outlineLevel="0" collapsed="false">
      <c r="A11" s="20" t="s">
        <v>73</v>
      </c>
      <c r="B11" s="20"/>
      <c r="C11" s="20"/>
      <c r="D11" s="20"/>
      <c r="E11" s="20"/>
    </row>
    <row r="13" customFormat="false" ht="15" hidden="false" customHeight="false" outlineLevel="0" collapsed="false">
      <c r="A13" s="5" t="s">
        <v>74</v>
      </c>
      <c r="B13" s="5"/>
      <c r="C13" s="5"/>
      <c r="D13" s="5"/>
      <c r="E13" s="5"/>
    </row>
    <row r="14" customFormat="false" ht="15" hidden="false" customHeight="false" outlineLevel="0" collapsed="false">
      <c r="A14" s="6" t="s">
        <v>61</v>
      </c>
      <c r="B14" s="6" t="s">
        <v>75</v>
      </c>
      <c r="C14" s="6" t="s">
        <v>76</v>
      </c>
      <c r="D14" s="6" t="s">
        <v>77</v>
      </c>
      <c r="E14" s="6" t="s">
        <v>78</v>
      </c>
    </row>
    <row r="15" customFormat="false" ht="15" hidden="false" customHeight="false" outlineLevel="0" collapsed="false">
      <c r="A15" s="7" t="s">
        <v>79</v>
      </c>
      <c r="B15" s="21" t="n">
        <v>8</v>
      </c>
      <c r="C15" s="21" t="n">
        <v>15</v>
      </c>
      <c r="D15" s="21" t="n">
        <v>30</v>
      </c>
      <c r="E15" s="8" t="s">
        <v>80</v>
      </c>
    </row>
    <row r="16" customFormat="false" ht="15" hidden="false" customHeight="false" outlineLevel="0" collapsed="false">
      <c r="A16" s="7" t="s">
        <v>81</v>
      </c>
      <c r="B16" s="21" t="n">
        <v>3</v>
      </c>
      <c r="C16" s="21" t="n">
        <v>8</v>
      </c>
      <c r="D16" s="21" t="n">
        <v>15</v>
      </c>
      <c r="E16" s="8" t="s">
        <v>80</v>
      </c>
    </row>
    <row r="17" customFormat="false" ht="28.35" hidden="false" customHeight="false" outlineLevel="0" collapsed="false">
      <c r="A17" s="7" t="s">
        <v>82</v>
      </c>
      <c r="B17" s="21" t="n">
        <v>1.5</v>
      </c>
      <c r="C17" s="21" t="n">
        <v>3</v>
      </c>
      <c r="D17" s="21" t="n">
        <v>4.5</v>
      </c>
      <c r="E17" s="8" t="s">
        <v>83</v>
      </c>
    </row>
    <row r="19" customFormat="false" ht="15" hidden="false" customHeight="false" outlineLevel="0" collapsed="false">
      <c r="A19" s="22" t="s">
        <v>84</v>
      </c>
      <c r="B19" s="22"/>
      <c r="C19" s="22"/>
      <c r="D19" s="22"/>
      <c r="E19" s="22"/>
    </row>
    <row r="21" customFormat="false" ht="15" hidden="false" customHeight="false" outlineLevel="0" collapsed="false">
      <c r="A21" s="5" t="s">
        <v>85</v>
      </c>
      <c r="B21" s="5"/>
      <c r="C21" s="5"/>
      <c r="D21" s="5"/>
      <c r="E21" s="5"/>
    </row>
    <row r="22" customFormat="false" ht="15" hidden="false" customHeight="false" outlineLevel="0" collapsed="false">
      <c r="A22" s="6" t="s">
        <v>86</v>
      </c>
      <c r="B22" s="6" t="s">
        <v>87</v>
      </c>
      <c r="C22" s="6" t="s">
        <v>88</v>
      </c>
      <c r="D22" s="6" t="s">
        <v>89</v>
      </c>
      <c r="E22" s="6" t="s">
        <v>90</v>
      </c>
    </row>
    <row r="23" customFormat="false" ht="15" hidden="false" customHeight="false" outlineLevel="0" collapsed="false">
      <c r="A23" s="7" t="n">
        <v>1</v>
      </c>
      <c r="B23" s="23" t="n">
        <f aca="false">B15</f>
        <v>8</v>
      </c>
      <c r="C23" s="23" t="n">
        <f aca="false">B23*B17</f>
        <v>12</v>
      </c>
      <c r="D23" s="24" t="n">
        <f aca="false">C23*$B$10</f>
        <v>468</v>
      </c>
      <c r="E23" s="25" t="n">
        <f aca="false">C23/$B$9</f>
        <v>0.00144</v>
      </c>
    </row>
    <row r="24" customFormat="false" ht="15" hidden="false" customHeight="false" outlineLevel="0" collapsed="false">
      <c r="A24" s="7" t="n">
        <v>2</v>
      </c>
      <c r="B24" s="23" t="n">
        <f aca="false">B23+B16</f>
        <v>11</v>
      </c>
      <c r="C24" s="23" t="n">
        <f aca="false">B24*B17</f>
        <v>16.5</v>
      </c>
      <c r="D24" s="24" t="n">
        <f aca="false">C24*$B$10</f>
        <v>643.5</v>
      </c>
      <c r="E24" s="25" t="n">
        <f aca="false">C24/$B$9</f>
        <v>0.00198</v>
      </c>
    </row>
    <row r="25" customFormat="false" ht="15" hidden="false" customHeight="false" outlineLevel="0" collapsed="false">
      <c r="A25" s="7" t="n">
        <v>3</v>
      </c>
      <c r="B25" s="23" t="n">
        <f aca="false">B24+B16</f>
        <v>14</v>
      </c>
      <c r="C25" s="23" t="n">
        <f aca="false">B25*B17</f>
        <v>21</v>
      </c>
      <c r="D25" s="24" t="n">
        <f aca="false">C25*$B$10</f>
        <v>819</v>
      </c>
      <c r="E25" s="25" t="n">
        <f aca="false">C25/$B$9</f>
        <v>0.00252</v>
      </c>
    </row>
    <row r="26" customFormat="false" ht="15" hidden="false" customHeight="false" outlineLevel="0" collapsed="false">
      <c r="A26" s="7" t="n">
        <v>4</v>
      </c>
      <c r="B26" s="23" t="n">
        <f aca="false">B25+B16</f>
        <v>17</v>
      </c>
      <c r="C26" s="23" t="n">
        <f aca="false">B26*B17</f>
        <v>25.5</v>
      </c>
      <c r="D26" s="24" t="n">
        <f aca="false">C26*$B$10</f>
        <v>994.5</v>
      </c>
      <c r="E26" s="25" t="n">
        <f aca="false">C26/$B$9</f>
        <v>0.00306</v>
      </c>
    </row>
    <row r="28" customFormat="false" ht="15" hidden="false" customHeight="false" outlineLevel="0" collapsed="false">
      <c r="A28" s="5" t="s">
        <v>91</v>
      </c>
      <c r="B28" s="5"/>
      <c r="C28" s="5"/>
      <c r="D28" s="5"/>
      <c r="E28" s="5"/>
    </row>
    <row r="29" customFormat="false" ht="15" hidden="false" customHeight="false" outlineLevel="0" collapsed="false">
      <c r="A29" s="6" t="s">
        <v>86</v>
      </c>
      <c r="B29" s="6" t="s">
        <v>87</v>
      </c>
      <c r="C29" s="6" t="s">
        <v>88</v>
      </c>
      <c r="D29" s="6" t="s">
        <v>89</v>
      </c>
      <c r="E29" s="6" t="s">
        <v>90</v>
      </c>
    </row>
    <row r="30" customFormat="false" ht="15" hidden="false" customHeight="false" outlineLevel="0" collapsed="false">
      <c r="A30" s="7" t="n">
        <v>1</v>
      </c>
      <c r="B30" s="23" t="n">
        <f aca="false">C15</f>
        <v>15</v>
      </c>
      <c r="C30" s="23" t="n">
        <f aca="false">B30*C17</f>
        <v>45</v>
      </c>
      <c r="D30" s="24" t="n">
        <f aca="false">C30*$B$10</f>
        <v>1755</v>
      </c>
      <c r="E30" s="25" t="n">
        <f aca="false">C30/$B$9</f>
        <v>0.0054</v>
      </c>
    </row>
    <row r="31" customFormat="false" ht="15" hidden="false" customHeight="false" outlineLevel="0" collapsed="false">
      <c r="A31" s="7" t="n">
        <v>2</v>
      </c>
      <c r="B31" s="23" t="n">
        <f aca="false">B30+C16</f>
        <v>23</v>
      </c>
      <c r="C31" s="23" t="n">
        <f aca="false">B31*C17</f>
        <v>69</v>
      </c>
      <c r="D31" s="24" t="n">
        <f aca="false">C31*$B$10</f>
        <v>2691</v>
      </c>
      <c r="E31" s="25" t="n">
        <f aca="false">C31/$B$9</f>
        <v>0.00828</v>
      </c>
    </row>
    <row r="32" customFormat="false" ht="15" hidden="false" customHeight="false" outlineLevel="0" collapsed="false">
      <c r="A32" s="7" t="n">
        <v>3</v>
      </c>
      <c r="B32" s="23" t="n">
        <f aca="false">B31+C16</f>
        <v>31</v>
      </c>
      <c r="C32" s="23" t="n">
        <f aca="false">B32*C17</f>
        <v>93</v>
      </c>
      <c r="D32" s="24" t="n">
        <f aca="false">C32*$B$10</f>
        <v>3627</v>
      </c>
      <c r="E32" s="25" t="n">
        <f aca="false">C32/$B$9</f>
        <v>0.01116</v>
      </c>
    </row>
    <row r="33" customFormat="false" ht="15" hidden="false" customHeight="false" outlineLevel="0" collapsed="false">
      <c r="A33" s="7" t="n">
        <v>4</v>
      </c>
      <c r="B33" s="23" t="n">
        <f aca="false">B32+C16</f>
        <v>39</v>
      </c>
      <c r="C33" s="23" t="n">
        <f aca="false">B33*C17</f>
        <v>117</v>
      </c>
      <c r="D33" s="24" t="n">
        <f aca="false">C33*$B$10</f>
        <v>4563</v>
      </c>
      <c r="E33" s="25" t="n">
        <f aca="false">C33/$B$9</f>
        <v>0.01404</v>
      </c>
    </row>
    <row r="35" customFormat="false" ht="15" hidden="false" customHeight="false" outlineLevel="0" collapsed="false">
      <c r="A35" s="5" t="s">
        <v>92</v>
      </c>
      <c r="B35" s="5"/>
      <c r="C35" s="5"/>
      <c r="D35" s="5"/>
      <c r="E35" s="5"/>
    </row>
    <row r="36" customFormat="false" ht="15" hidden="false" customHeight="false" outlineLevel="0" collapsed="false">
      <c r="A36" s="6" t="s">
        <v>86</v>
      </c>
      <c r="B36" s="6" t="s">
        <v>87</v>
      </c>
      <c r="C36" s="6" t="s">
        <v>88</v>
      </c>
      <c r="D36" s="6" t="s">
        <v>89</v>
      </c>
      <c r="E36" s="6" t="s">
        <v>90</v>
      </c>
    </row>
    <row r="37" customFormat="false" ht="15" hidden="false" customHeight="false" outlineLevel="0" collapsed="false">
      <c r="A37" s="7" t="n">
        <v>1</v>
      </c>
      <c r="B37" s="23" t="n">
        <f aca="false">D15</f>
        <v>30</v>
      </c>
      <c r="C37" s="23" t="n">
        <f aca="false">B37*D17</f>
        <v>135</v>
      </c>
      <c r="D37" s="24" t="n">
        <f aca="false">C37*$B$10</f>
        <v>5265</v>
      </c>
      <c r="E37" s="25" t="n">
        <f aca="false">C37/$B$9</f>
        <v>0.0162</v>
      </c>
    </row>
    <row r="38" customFormat="false" ht="15" hidden="false" customHeight="false" outlineLevel="0" collapsed="false">
      <c r="A38" s="7" t="n">
        <v>2</v>
      </c>
      <c r="B38" s="23" t="n">
        <f aca="false">B37+D16</f>
        <v>45</v>
      </c>
      <c r="C38" s="23" t="n">
        <f aca="false">B38*D17</f>
        <v>202.5</v>
      </c>
      <c r="D38" s="24" t="n">
        <f aca="false">C38*$B$10</f>
        <v>7897.5</v>
      </c>
      <c r="E38" s="25" t="n">
        <f aca="false">C38/$B$9</f>
        <v>0.0243</v>
      </c>
    </row>
    <row r="39" customFormat="false" ht="15" hidden="false" customHeight="false" outlineLevel="0" collapsed="false">
      <c r="A39" s="7" t="n">
        <v>3</v>
      </c>
      <c r="B39" s="23" t="n">
        <f aca="false">B38+D16</f>
        <v>60</v>
      </c>
      <c r="C39" s="23" t="n">
        <f aca="false">B39*D17</f>
        <v>270</v>
      </c>
      <c r="D39" s="24" t="n">
        <f aca="false">C39*$B$10</f>
        <v>10530</v>
      </c>
      <c r="E39" s="25" t="n">
        <f aca="false">C39/$B$9</f>
        <v>0.0324</v>
      </c>
    </row>
    <row r="40" customFormat="false" ht="15" hidden="false" customHeight="false" outlineLevel="0" collapsed="false">
      <c r="A40" s="7" t="n">
        <v>4</v>
      </c>
      <c r="B40" s="23" t="n">
        <f aca="false">B39+D16</f>
        <v>75</v>
      </c>
      <c r="C40" s="23" t="n">
        <f aca="false">B40*D17</f>
        <v>337.5</v>
      </c>
      <c r="D40" s="24" t="n">
        <f aca="false">C40*$B$10</f>
        <v>13162.5</v>
      </c>
      <c r="E40" s="25" t="n">
        <f aca="false">C40/$B$9</f>
        <v>0.0405</v>
      </c>
    </row>
    <row r="42" customFormat="false" ht="15" hidden="false" customHeight="false" outlineLevel="0" collapsed="false">
      <c r="A42" s="5" t="s">
        <v>93</v>
      </c>
      <c r="B42" s="5"/>
      <c r="C42" s="5"/>
      <c r="D42" s="5"/>
      <c r="E42" s="5"/>
    </row>
    <row r="43" customFormat="false" ht="15" hidden="false" customHeight="false" outlineLevel="0" collapsed="false">
      <c r="A43" s="6"/>
      <c r="B43" s="6" t="s">
        <v>75</v>
      </c>
      <c r="C43" s="6" t="s">
        <v>76</v>
      </c>
      <c r="D43" s="6" t="s">
        <v>77</v>
      </c>
      <c r="E43" s="6"/>
    </row>
    <row r="44" customFormat="false" ht="15" hidden="false" customHeight="false" outlineLevel="0" collapsed="false">
      <c r="A44" s="16" t="s">
        <v>94</v>
      </c>
      <c r="B44" s="26" t="n">
        <f aca="false">E25</f>
        <v>0.00252</v>
      </c>
      <c r="C44" s="26" t="n">
        <f aca="false">E32</f>
        <v>0.01116</v>
      </c>
      <c r="D44" s="26" t="n">
        <f aca="false">E39</f>
        <v>0.0324</v>
      </c>
    </row>
    <row r="45" customFormat="false" ht="15" hidden="false" customHeight="false" outlineLevel="0" collapsed="false">
      <c r="A45" s="16" t="s">
        <v>95</v>
      </c>
      <c r="B45" s="27" t="n">
        <f aca="false">D26</f>
        <v>994.5</v>
      </c>
      <c r="C45" s="27" t="n">
        <f aca="false">D33</f>
        <v>4563</v>
      </c>
      <c r="D45" s="27" t="n">
        <f aca="false">D40</f>
        <v>13162.5</v>
      </c>
    </row>
    <row r="47" customFormat="false" ht="39.75" hidden="false" customHeight="true" outlineLevel="0" collapsed="false">
      <c r="A47" s="20" t="s">
        <v>96</v>
      </c>
      <c r="B47" s="20"/>
      <c r="C47" s="20"/>
      <c r="D47" s="20"/>
      <c r="E47" s="20"/>
    </row>
  </sheetData>
  <mergeCells count="9">
    <mergeCell ref="A4:E4"/>
    <mergeCell ref="A11:E11"/>
    <mergeCell ref="A13:E13"/>
    <mergeCell ref="A19:E19"/>
    <mergeCell ref="A21:E21"/>
    <mergeCell ref="A28:E28"/>
    <mergeCell ref="A35:E35"/>
    <mergeCell ref="A42:E42"/>
    <mergeCell ref="A47:E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46"/>
  </cols>
  <sheetData>
    <row r="1" customFormat="false" ht="17.35" hidden="false" customHeight="false" outlineLevel="0" collapsed="false">
      <c r="A1" s="1" t="s">
        <v>97</v>
      </c>
    </row>
    <row r="2" customFormat="false" ht="15" hidden="false" customHeight="false" outlineLevel="0" collapsed="false">
      <c r="A2" s="2" t="s">
        <v>98</v>
      </c>
    </row>
    <row r="4" customFormat="false" ht="15" hidden="false" customHeight="false" outlineLevel="0" collapsed="false">
      <c r="A4" s="5" t="s">
        <v>99</v>
      </c>
      <c r="B4" s="5"/>
      <c r="C4" s="5"/>
    </row>
    <row r="5" customFormat="false" ht="15" hidden="false" customHeight="false" outlineLevel="0" collapsed="false">
      <c r="A5" s="6" t="s">
        <v>100</v>
      </c>
      <c r="B5" s="6" t="s">
        <v>101</v>
      </c>
      <c r="C5" s="6" t="s">
        <v>27</v>
      </c>
    </row>
    <row r="6" customFormat="false" ht="87.75" hidden="false" customHeight="true" outlineLevel="0" collapsed="false">
      <c r="A6" s="16" t="s">
        <v>102</v>
      </c>
      <c r="B6" s="12" t="s">
        <v>103</v>
      </c>
      <c r="C6" s="8" t="s">
        <v>104</v>
      </c>
    </row>
    <row r="7" customFormat="false" ht="87.75" hidden="false" customHeight="true" outlineLevel="0" collapsed="false">
      <c r="A7" s="16" t="s">
        <v>105</v>
      </c>
      <c r="B7" s="12" t="s">
        <v>106</v>
      </c>
      <c r="C7" s="8" t="s">
        <v>107</v>
      </c>
    </row>
    <row r="8" customFormat="false" ht="87.75" hidden="false" customHeight="true" outlineLevel="0" collapsed="false">
      <c r="A8" s="16" t="s">
        <v>108</v>
      </c>
      <c r="B8" s="12" t="s">
        <v>109</v>
      </c>
      <c r="C8" s="8" t="s">
        <v>110</v>
      </c>
    </row>
    <row r="10" customFormat="false" ht="15" hidden="false" customHeight="false" outlineLevel="0" collapsed="false">
      <c r="A10" s="5" t="s">
        <v>111</v>
      </c>
      <c r="B10" s="5"/>
      <c r="C10" s="5"/>
    </row>
    <row r="11" customFormat="false" ht="43.5" hidden="false" customHeight="true" outlineLevel="0" collapsed="false">
      <c r="A11" s="20" t="s">
        <v>112</v>
      </c>
      <c r="B11" s="20"/>
      <c r="C11" s="20"/>
    </row>
    <row r="13" customFormat="false" ht="15" hidden="false" customHeight="false" outlineLevel="0" collapsed="false">
      <c r="A13" s="5" t="s">
        <v>113</v>
      </c>
      <c r="B13" s="5"/>
      <c r="C13" s="5"/>
    </row>
    <row r="14" customFormat="false" ht="75.75" hidden="false" customHeight="true" outlineLevel="0" collapsed="false">
      <c r="A14" s="16" t="s">
        <v>102</v>
      </c>
      <c r="B14" s="28" t="s">
        <v>114</v>
      </c>
      <c r="C14" s="28"/>
    </row>
    <row r="15" customFormat="false" ht="75.75" hidden="false" customHeight="true" outlineLevel="0" collapsed="false">
      <c r="A15" s="16" t="s">
        <v>105</v>
      </c>
      <c r="B15" s="28" t="s">
        <v>115</v>
      </c>
      <c r="C15" s="28"/>
    </row>
    <row r="16" customFormat="false" ht="75.75" hidden="false" customHeight="true" outlineLevel="0" collapsed="false">
      <c r="A16" s="16" t="s">
        <v>108</v>
      </c>
      <c r="B16" s="28" t="s">
        <v>116</v>
      </c>
      <c r="C16" s="28"/>
    </row>
    <row r="17" customFormat="false" ht="75.75" hidden="false" customHeight="true" outlineLevel="0" collapsed="false">
      <c r="A17" s="16" t="s">
        <v>117</v>
      </c>
      <c r="B17" s="28" t="s">
        <v>118</v>
      </c>
      <c r="C17" s="28"/>
    </row>
  </sheetData>
  <mergeCells count="8">
    <mergeCell ref="A4:C4"/>
    <mergeCell ref="A10:C10"/>
    <mergeCell ref="A11:C11"/>
    <mergeCell ref="A13:C13"/>
    <mergeCell ref="B14:C14"/>
    <mergeCell ref="B15:C15"/>
    <mergeCell ref="B16:C16"/>
    <mergeCell ref="B17:C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s>
  <sheetData>
    <row r="1" customFormat="false" ht="17.35" hidden="false" customHeight="false" outlineLevel="0" collapsed="false">
      <c r="A1" s="1" t="s">
        <v>119</v>
      </c>
    </row>
    <row r="3" customFormat="false" ht="27.75" hidden="false" customHeight="true" outlineLevel="0" collapsed="false">
      <c r="A3" s="12" t="s">
        <v>120</v>
      </c>
    </row>
    <row r="4" customFormat="false" ht="27.75" hidden="false" customHeight="true" outlineLevel="0" collapsed="false">
      <c r="A4" s="12" t="s">
        <v>121</v>
      </c>
    </row>
    <row r="5" customFormat="false" ht="27.75" hidden="false" customHeight="true" outlineLevel="0" collapsed="false">
      <c r="A5" s="12" t="s">
        <v>122</v>
      </c>
    </row>
    <row r="6" customFormat="false" ht="27.75" hidden="false" customHeight="true" outlineLevel="0" collapsed="false">
      <c r="A6" s="12" t="s">
        <v>123</v>
      </c>
    </row>
    <row r="7" customFormat="false" ht="27.75" hidden="false" customHeight="true" outlineLevel="0" collapsed="false">
      <c r="A7" s="12" t="s">
        <v>124</v>
      </c>
    </row>
    <row r="8" customFormat="false" ht="27.75" hidden="false" customHeight="true" outlineLevel="0" collapsed="false">
      <c r="A8" s="12" t="s">
        <v>125</v>
      </c>
    </row>
    <row r="9" customFormat="false" ht="27.75" hidden="false" customHeight="true" outlineLevel="0" collapsed="false">
      <c r="A9" s="12" t="s">
        <v>126</v>
      </c>
    </row>
    <row r="10" customFormat="false" ht="27.75" hidden="false" customHeight="true" outlineLevel="0" collapsed="false">
      <c r="A10" s="12" t="s">
        <v>127</v>
      </c>
    </row>
    <row r="11" customFormat="false" ht="27.75" hidden="false" customHeight="true" outlineLevel="0" collapsed="false">
      <c r="A11" s="12" t="s">
        <v>128</v>
      </c>
    </row>
    <row r="12" customFormat="false" ht="27.75" hidden="false" customHeight="true" outlineLevel="0" collapsed="false">
      <c r="A12" s="12" t="s">
        <v>129</v>
      </c>
    </row>
    <row r="13" customFormat="false" ht="27.75" hidden="false" customHeight="true" outlineLevel="0" collapsed="false">
      <c r="A13" s="12" t="s">
        <v>130</v>
      </c>
    </row>
    <row r="14" customFormat="false" ht="27.75" hidden="false" customHeight="true" outlineLevel="0" collapsed="false">
      <c r="A14" s="12" t="s">
        <v>131</v>
      </c>
    </row>
    <row r="15" customFormat="false" ht="27.75" hidden="false" customHeight="true" outlineLevel="0" collapsed="false">
      <c r="A15" s="12" t="s">
        <v>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2026-07-30T02:11:39Z</dcterms:created>
  <dc:creator>openpyxl</dc:creator>
  <dc:description/>
  <dc:language>en-US</dc:language>
  <cp:lastModifiedBy/>
  <dcterms:modified xsi:type="dcterms:W3CDTF">2026-07-30T02:11:39Z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